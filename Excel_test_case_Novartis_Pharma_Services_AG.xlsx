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Финальный проект\Excel\"/>
    </mc:Choice>
  </mc:AlternateContent>
  <xr:revisionPtr revIDLastSave="0" documentId="13_ncr:1_{8C5BDFD6-CCB7-4E5F-80F2-0F49DBC6B6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данных'!$A$1:$E$624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" l="1"/>
  <c r="C23" i="2" s="1"/>
  <c r="B23" i="2" s="1"/>
  <c r="H14" i="1"/>
  <c r="D21" i="2" a="1"/>
  <c r="D21" i="2" s="1"/>
  <c r="F21" i="2" s="1"/>
  <c r="C22" i="2" s="1"/>
  <c r="B22" i="2" s="1"/>
  <c r="D20" i="2" a="1"/>
  <c r="D20" i="2" s="1"/>
  <c r="F20" i="2" s="1"/>
  <c r="C21" i="2" s="1"/>
  <c r="B21" i="2" s="1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F6" i="2"/>
  <c r="C7" i="2" s="1"/>
  <c r="B7" i="2" s="1"/>
  <c r="D4" i="2"/>
  <c r="D3" i="2"/>
  <c r="F24" i="2"/>
  <c r="C25" i="2" s="1"/>
  <c r="B25" i="2" s="1"/>
  <c r="H380" i="1"/>
  <c r="H388" i="1" a="1"/>
  <c r="H388" i="1" s="1"/>
  <c r="D27" i="2"/>
  <c r="F23" i="2"/>
  <c r="C24" i="2" s="1"/>
  <c r="B24" i="2" s="1"/>
  <c r="A3" i="4" a="1"/>
  <c r="A3" i="4" s="1"/>
  <c r="A2" i="4"/>
  <c r="A1" i="4"/>
  <c r="D26" i="2" a="1"/>
  <c r="D26" i="2" s="1"/>
  <c r="F26" i="2" s="1"/>
  <c r="C27" i="2" s="1"/>
  <c r="F25" i="2"/>
  <c r="C26" i="2" s="1"/>
  <c r="B26" i="2" s="1"/>
  <c r="F5" i="2"/>
  <c r="C6" i="2" s="1"/>
  <c r="B6" i="2" s="1"/>
  <c r="F4" i="2" l="1"/>
  <c r="C5" i="2" s="1"/>
  <c r="B5" i="2" s="1"/>
  <c r="F3" i="2"/>
  <c r="C4" i="2" s="1"/>
  <c r="B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<sst xmlns="http://schemas.openxmlformats.org/spreadsheetml/2006/main" count="635" uniqueCount="17">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</sst>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0" fontId="0" fillId="0" borderId="3" xfId="0" applyNumberFormat="1" applyBorder="1" applyAlignment="1" applyProtection="1">
      <alignment horizont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21" zoomScale="85" zoomScaleNormal="85" workbookViewId="0">
      <selection activeCell="H24" sqref="H24"/>
    </sheetView>
  </sheetViews>
  <sheetFormatPr defaultColWidth="9.140625" defaultRowHeight="15" x14ac:dyDescent="0.25"/>
  <cols>
    <col min="1" max="1" width="2.28515625" style="5" customWidth="1"/>
    <col min="2" max="2" width="12.42578125" style="9" customWidth="1"/>
    <col min="3" max="3" width="63.7109375" style="8" customWidth="1"/>
    <col min="4" max="4" width="21.140625" style="4" customWidth="1"/>
    <col min="5" max="5" width="1.7109375" style="7" customWidth="1"/>
    <col min="6" max="6" width="20.5703125" style="9" customWidth="1"/>
    <col min="7" max="7" width="16.42578125" style="8" customWidth="1"/>
    <col min="8" max="13" width="15.7109375" style="8" customWidth="1"/>
    <col min="14" max="14" width="16.5703125" style="8" customWidth="1"/>
    <col min="15" max="15" width="15.7109375" style="27" hidden="1" customWidth="1"/>
    <col min="16" max="16" width="8" style="28" hidden="1" customWidth="1"/>
    <col min="17" max="32" width="15.7109375" style="7" customWidth="1"/>
    <col min="33" max="33" width="15.7109375" style="10" customWidth="1"/>
    <col min="34" max="16384" width="9.140625" style="10"/>
  </cols>
  <sheetData>
    <row r="2" spans="1:16" x14ac:dyDescent="0.25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25">
      <c r="A3" s="5">
        <v>1</v>
      </c>
      <c r="B3" s="11">
        <v>1</v>
      </c>
      <c r="C3" s="12" t="s">
        <v>11</v>
      </c>
      <c r="D3" s="2">
        <f>SUM('База данных'!D:D)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25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данных'!E:E)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25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25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25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данных'!C:C,'База данных'!C2,'База данных'!D:D)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25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данных'!C:C,'База данных'!C14,'База данных'!E:E)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25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данных'!B:B,'База данных'!B254)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25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данных'!D:D)/(SUM('База данных'!E:E)/60),2)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25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42">
        <f>ROUND(AVERAGE('База данных'!E:E),0)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25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данных'!E:E,'База данных'!B:B,'База данных'!B362,'База данных'!C:C,'База данных'!C20)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25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данных'!C:C,'База данных'!C74,'База данных'!B:B,'База данных'!B2)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25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данных'!C:C,'База данных'!C2,'База данных'!E:E)/SUM('База данных'!E:E),4)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25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данных'!B:B,'База данных'!B2,'База данных'!D:D)/SUM('База данных'!D:D),4)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25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COUNT(_xlfn.UNIQUE('База данных'!A:A))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25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COUNTA(_xlfn.UNIQUE(_xlfn._xlws.FILTER('База данных'!A:A,'База данных'!C:C="Внутри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25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COUNTA(_xlfn.UNIQUE(_xlfn._xlws.FILTER('База данных'!A:A,'База данных'!B:B=6)))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25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ROUND(COUNTA(_xlfn.UNIQUE(_xlfn._xlws.FILTER('База данных'!A:A,'База данных'!B:B=2)))/COUNTA(_xlfn.UNIQUE(_xlfn._xlws.FILTER('База данных'!A:A,ISNUMBER('База данных'!B:B)))),4)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25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 cm="1">
        <f t="array" ref="D20">ROUND(SUM('База данных'!D:D)/COUNTA(_xlfn.UNIQUE(_xlfn._xlws.FILTER('База данных'!A:A,ISNUMBER('База данных'!B:B)))),2)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25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 cm="1">
        <f t="array" ref="D21">ROUND((SUM('База данных'!E:E)/60)/COUNTA(_xlfn.UNIQUE(_xlfn._xlws.FILTER('База данных'!A:A, ISNUMBER('База данных'!B:B)))), 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25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/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25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25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25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25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 t="e" cm="1" vm="1">
        <f t="array" ref="D26">_xlfn.TEXTJOIN("; ",TRUE,_xlfn._xlws.FILTER(_xlfn.UNIQUE('База данных'!C:C),ISNA(MATCH(_xlfn.UNIQUE('База данных'!C:C),_xlfn.UNIQUE(_xlfn._xlws.FILTER('База данных'!C:C,'База данных'!B:B="6")),0))))</f>
        <v>#VALUE!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25">
      <c r="C27" s="13" t="str">
        <f>IF(F26="Правильный ответ","Тест пройден. Поздравляем!","")</f>
        <v/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>
      <selection activeCell="H14" sqref="H14"/>
    </sheetView>
  </sheetViews>
  <sheetFormatPr defaultRowHeight="15" x14ac:dyDescent="0.25"/>
  <cols>
    <col min="1" max="1" width="20.5703125" style="26" customWidth="1"/>
    <col min="2" max="2" width="16.7109375" style="26" customWidth="1"/>
    <col min="3" max="3" width="32.5703125" style="26" customWidth="1"/>
    <col min="4" max="4" width="18.28515625" style="26" customWidth="1"/>
    <col min="5" max="5" width="24" style="35" customWidth="1"/>
  </cols>
  <sheetData>
    <row r="1" spans="1:8" s="1" customFormat="1" ht="30" x14ac:dyDescent="0.25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8" x14ac:dyDescent="0.25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8" x14ac:dyDescent="0.25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8" x14ac:dyDescent="0.25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8" x14ac:dyDescent="0.25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8" x14ac:dyDescent="0.25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8" x14ac:dyDescent="0.25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8" x14ac:dyDescent="0.25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8" x14ac:dyDescent="0.25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8" x14ac:dyDescent="0.25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8" x14ac:dyDescent="0.25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8" x14ac:dyDescent="0.25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8" x14ac:dyDescent="0.25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8" x14ac:dyDescent="0.25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  <c r="H14">
        <f>SUMIF('База данных'!B:B, VLOOKUP(77010000055, 'База данных'!A:B, 2, 0), 'База данных'!E:E)</f>
        <v>2705</v>
      </c>
    </row>
    <row r="15" spans="1:8" x14ac:dyDescent="0.25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8" x14ac:dyDescent="0.25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25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25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25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25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25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25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25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25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25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25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25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25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25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25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25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25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25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25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25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25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25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25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25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25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25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25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25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25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25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25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25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25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25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25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25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25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25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25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25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25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25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25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25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25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25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25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25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25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25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25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25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25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25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25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25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25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25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25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25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25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25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25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25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25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25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25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25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25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25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25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25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25">
      <c r="A88" s="43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25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25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25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25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25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25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25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25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25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25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25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25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25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25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25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25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25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25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25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25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25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25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25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25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25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25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25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25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25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25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25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25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25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25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25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25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25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25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25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25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25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25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25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25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25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25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25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25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25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25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25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25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25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25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25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25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25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25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25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25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25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25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25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25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25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25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25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25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25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25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25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25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25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25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25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25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25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25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25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25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25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25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25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25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25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25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25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25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25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25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25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25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25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25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25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25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25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25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25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25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25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25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25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25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25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25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25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25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25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25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25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25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25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25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25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25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25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25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25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25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25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25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25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25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25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25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25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25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25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25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25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25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25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25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25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25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25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25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25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25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25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25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25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25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25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25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25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25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25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25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25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25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25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25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25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25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25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25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25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25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25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25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25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25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25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25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25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25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25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25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25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25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25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25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25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25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25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25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25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25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25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25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25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25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25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25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25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25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25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25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25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25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25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25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25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25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25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25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25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25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25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25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25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25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25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25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25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25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25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25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25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25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25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25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25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25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25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25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25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25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25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25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25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25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25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25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25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25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25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25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25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25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25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25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25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25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25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25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25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25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25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25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25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25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25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25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25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25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25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25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25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25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25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25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25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25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25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25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25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25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25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25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25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25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25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25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25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25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25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25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25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25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25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25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25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25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25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25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25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25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25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25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25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25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25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25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25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25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25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25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25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25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25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25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25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25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25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25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25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25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25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25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25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25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25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25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25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25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25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25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25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25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25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25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25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25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25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25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25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25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25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25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25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25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25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25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25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25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25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25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25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25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25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25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25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25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25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25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25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25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25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25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25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25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25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25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25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25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25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25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25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25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25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25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25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25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25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25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25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25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25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25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25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25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25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25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25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25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25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25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25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25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25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25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25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25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25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25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25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25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25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25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25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25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25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25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25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25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25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25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25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25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25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25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25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25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25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25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25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25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25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25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25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25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25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25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25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25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25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25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25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25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25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25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25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25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25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25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25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25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25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25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25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25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25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25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25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25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25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25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25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25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25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25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25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25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25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25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25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25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25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25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25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25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25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25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25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25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25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25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25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25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25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25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25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25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25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25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25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25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25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25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25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25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25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25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25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25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25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25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25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25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25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25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25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25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25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25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25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25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25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25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25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25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25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25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25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25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25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25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25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25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25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25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25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25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25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25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25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25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25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25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25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25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25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25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25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25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25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25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25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25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25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25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25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25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25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25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25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25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25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25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25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25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25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25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25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25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25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25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25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25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25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25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25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25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E624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F10" sqref="F10"/>
    </sheetView>
  </sheetViews>
  <sheetFormatPr defaultRowHeight="15" x14ac:dyDescent="0.25"/>
  <cols>
    <col min="1" max="1" width="10.42578125" bestFit="1" customWidth="1"/>
  </cols>
  <sheetData>
    <row r="1" spans="1:1" x14ac:dyDescent="0.25">
      <c r="A1">
        <f>VLOOKUP(77010000055,'База данных'!A:B,2,FALSE)</f>
        <v>1</v>
      </c>
    </row>
    <row r="2" spans="1:1" x14ac:dyDescent="0.25">
      <c r="A2">
        <f>SUMIF('База данных'!B:B,"1",'База данных'!E:E)</f>
        <v>2705</v>
      </c>
    </row>
    <row r="3" spans="1:1" x14ac:dyDescent="0.25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Павел Аз</cp:lastModifiedBy>
  <dcterms:created xsi:type="dcterms:W3CDTF">2010-08-09T12:20:19Z</dcterms:created>
  <dcterms:modified xsi:type="dcterms:W3CDTF">2026-06-23T13:42:41Z</dcterms:modified>
</cp:coreProperties>
</file>